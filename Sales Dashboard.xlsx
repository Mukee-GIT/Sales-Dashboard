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ukeshdhayalan/Desktop/"/>
    </mc:Choice>
  </mc:AlternateContent>
  <xr:revisionPtr revIDLastSave="0" documentId="13_ncr:1_{A660FC11-F8AA-6847-90CD-F963E71AC4DF}"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Work sheet" sheetId="2" r:id="rId2"/>
    <sheet name="Pivot Table" sheetId="3" r:id="rId3"/>
    <sheet name="Dashboard" sheetId="4" r:id="rId4"/>
  </sheets>
  <definedNames>
    <definedName name="_xlnm._FilterDatabase" localSheetId="0" hidden="1">bike_buyers!$A$1:$M$1001</definedName>
    <definedName name="_xlnm._FilterDatabase" localSheetId="1" hidden="1">'Work sheet'!$A$1:$N$1001</definedName>
    <definedName name="Slicer_Education">#N/A</definedName>
    <definedName name="Slicer_Marital_Status">#N/A</definedName>
    <definedName name="Slicer_Occupation">#N/A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<sst xmlns="http://schemas.openxmlformats.org/spreadsheetml/2006/main" count="16275" uniqueCount="51">
  <si>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</si>
  <si>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</si>
  <si>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</si>
  <si>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</si>
  <si>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</si>
  <si>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</si>
  <si>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</si>
  <si>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</si>
  <si>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</si>
  <si>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</si>
  <si>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</si>
  <si>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</si>
  <si>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</si>
  <si>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</si>
  <si>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</si>
  <si>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</si>
  <si>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</si>
  <si>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</si>
  <si>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</si>
  <si>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</si>
  <si>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</si>
  <si>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</si>
  <si>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</si>
  <si>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</si>
  <si>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</si>
  <si>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</si>
  <si>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</si>
  <si>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</si>
  <si>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</si>
  <si>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</si>
  <si>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</si>
  <si>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</si>
  <si>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</si>
  <si>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</si>
  <si>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</si>
  <si>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</si>
  <si>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</si>
  <si>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</si>
  <si>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</si>
  <si>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</si>
  <si>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</si>
  <si>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</si>
  <si>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</si>
  <si>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Column Labels</t>
  </si>
  <si>
    <t>Average of Income</t>
  </si>
  <si>
    <t>Count of Purchased Bike</t>
  </si>
  <si>
    <t>More than 10 Miles</t>
  </si>
  <si>
    <t>Middle Age 31-54</t>
  </si>
  <si>
    <t>Old 55+</t>
  </si>
  <si>
    <t>Adolescent 0-31</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</si>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</sst>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_(* #,##0_);_(* \(#,##0\);_(* "-"??_);_(@_)</c:formatCode>
                <c:ptCount val="2"/>
                <c:pt idx="0">
                  <c:v>60273.972602739726</c:v>
                </c:pt>
                <c:pt idx="1">
                  <c:v>62307.692307692305</c:v>
                </c:pt>
              </c:numCache>
            </c:numRef>
          </c:val>
          <c:extLst>
            <c:ext xmlns:c16="http://schemas.microsoft.com/office/drawing/2014/chart" uri="{C3380CC4-5D6E-409C-BE32-E72D297353CC}">
              <c16:uniqueId val="{00000000-F275-1C44-9BD0-FC23693A3F07}"/>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_(* #,##0_);_(* \(#,##0\);_(* "-"??_);_(@_)</c:formatCode>
                <c:ptCount val="2"/>
                <c:pt idx="0">
                  <c:v>65490.196078431371</c:v>
                </c:pt>
                <c:pt idx="1">
                  <c:v>62678.571428571428</c:v>
                </c:pt>
              </c:numCache>
            </c:numRef>
          </c:val>
          <c:extLst>
            <c:ext xmlns:c16="http://schemas.microsoft.com/office/drawing/2014/chart" uri="{C3380CC4-5D6E-409C-BE32-E72D297353CC}">
              <c16:uniqueId val="{00000001-F275-1C44-9BD0-FC23693A3F07}"/>
            </c:ext>
          </c:extLst>
        </c:ser>
        <c:dLbls>
          <c:showLegendKey val="0"/>
          <c:showVal val="1"/>
          <c:showCatName val="0"/>
          <c:showSerName val="0"/>
          <c:showPercent val="0"/>
          <c:showBubbleSize val="0"/>
        </c:dLbls>
        <c:gapWidth val="219"/>
        <c:overlap val="-27"/>
        <c:axId val="1839438400"/>
        <c:axId val="1839436160"/>
      </c:barChart>
      <c:catAx>
        <c:axId val="183943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36160"/>
        <c:crosses val="autoZero"/>
        <c:auto val="1"/>
        <c:lblAlgn val="ctr"/>
        <c:lblOffset val="100"/>
        <c:noMultiLvlLbl val="0"/>
      </c:catAx>
      <c:valAx>
        <c:axId val="18394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38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E303-A042-B89F-A6FB69A1228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E303-A042-B89F-A6FB69A12283}"/>
            </c:ext>
          </c:extLst>
        </c:ser>
        <c:dLbls>
          <c:showLegendKey val="0"/>
          <c:showVal val="0"/>
          <c:showCatName val="0"/>
          <c:showSerName val="0"/>
          <c:showPercent val="0"/>
          <c:showBubbleSize val="0"/>
        </c:dLbls>
        <c:smooth val="0"/>
        <c:axId val="1898335744"/>
        <c:axId val="1893919232"/>
      </c:lineChart>
      <c:catAx>
        <c:axId val="1898335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19232"/>
        <c:crosses val="autoZero"/>
        <c:auto val="1"/>
        <c:lblAlgn val="ctr"/>
        <c:lblOffset val="100"/>
        <c:noMultiLvlLbl val="0"/>
      </c:catAx>
      <c:valAx>
        <c:axId val="189391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0-31</c:v>
                </c:pt>
                <c:pt idx="1">
                  <c:v>Middle Age 31-54</c:v>
                </c:pt>
                <c:pt idx="2">
                  <c:v>Old 55+</c:v>
                </c:pt>
              </c:strCache>
            </c:strRef>
          </c:cat>
          <c:val>
            <c:numRef>
              <c:f>'Pivot Table'!$B$43:$B$46</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00A6-D046-8A3C-A0BBE10C815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0-31</c:v>
                </c:pt>
                <c:pt idx="1">
                  <c:v>Middle Age 31-54</c:v>
                </c:pt>
                <c:pt idx="2">
                  <c:v>Old 55+</c:v>
                </c:pt>
              </c:strCache>
            </c:strRef>
          </c:cat>
          <c:val>
            <c:numRef>
              <c:f>'Pivot Table'!$C$43:$C$46</c:f>
              <c:numCache>
                <c:formatCode>General</c:formatCode>
                <c:ptCount val="3"/>
                <c:pt idx="0">
                  <c:v>5</c:v>
                </c:pt>
                <c:pt idx="1">
                  <c:v>89</c:v>
                </c:pt>
                <c:pt idx="2">
                  <c:v>13</c:v>
                </c:pt>
              </c:numCache>
            </c:numRef>
          </c:val>
          <c:smooth val="0"/>
          <c:extLst>
            <c:ext xmlns:c16="http://schemas.microsoft.com/office/drawing/2014/chart" uri="{C3380CC4-5D6E-409C-BE32-E72D297353CC}">
              <c16:uniqueId val="{00000001-00A6-D046-8A3C-A0BBE10C8159}"/>
            </c:ext>
          </c:extLst>
        </c:ser>
        <c:dLbls>
          <c:showLegendKey val="0"/>
          <c:showVal val="0"/>
          <c:showCatName val="0"/>
          <c:showSerName val="0"/>
          <c:showPercent val="0"/>
          <c:showBubbleSize val="0"/>
        </c:dLbls>
        <c:marker val="1"/>
        <c:smooth val="0"/>
        <c:axId val="1916443200"/>
        <c:axId val="1915968064"/>
      </c:lineChart>
      <c:catAx>
        <c:axId val="191644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968064"/>
        <c:crosses val="autoZero"/>
        <c:auto val="1"/>
        <c:lblAlgn val="ctr"/>
        <c:lblOffset val="100"/>
        <c:noMultiLvlLbl val="0"/>
      </c:catAx>
      <c:valAx>
        <c:axId val="191596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Purchase</a:t>
            </a:r>
            <a:r>
              <a:rPr lang="en-US" baseline="0"/>
              <a:t>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Table'!$B$61:$B$62</c:f>
              <c:strCache>
                <c:ptCount val="1"/>
                <c:pt idx="0">
                  <c:v>No</c:v>
                </c:pt>
              </c:strCache>
            </c:strRef>
          </c:tx>
          <c:spPr>
            <a:solidFill>
              <a:schemeClr val="accent1"/>
            </a:solidFill>
            <a:ln>
              <a:noFill/>
            </a:ln>
            <a:effectLst/>
          </c:spPr>
          <c:invertIfNegative val="0"/>
          <c:cat>
            <c:strRef>
              <c:f>'Pivot Table'!$A$63:$A$64</c:f>
              <c:strCache>
                <c:ptCount val="1"/>
                <c:pt idx="0">
                  <c:v>Clerical</c:v>
                </c:pt>
              </c:strCache>
            </c:strRef>
          </c:cat>
          <c:val>
            <c:numRef>
              <c:f>'Pivot Table'!$B$63:$B$64</c:f>
              <c:numCache>
                <c:formatCode>General</c:formatCode>
                <c:ptCount val="1"/>
                <c:pt idx="0">
                  <c:v>89</c:v>
                </c:pt>
              </c:numCache>
            </c:numRef>
          </c:val>
          <c:extLst>
            <c:ext xmlns:c16="http://schemas.microsoft.com/office/drawing/2014/chart" uri="{C3380CC4-5D6E-409C-BE32-E72D297353CC}">
              <c16:uniqueId val="{00000000-312D-054B-8672-235BFC4E8D2F}"/>
            </c:ext>
          </c:extLst>
        </c:ser>
        <c:ser>
          <c:idx val="1"/>
          <c:order val="1"/>
          <c:tx>
            <c:strRef>
              <c:f>'Pivot Table'!$C$61:$C$62</c:f>
              <c:strCache>
                <c:ptCount val="1"/>
                <c:pt idx="0">
                  <c:v>Yes</c:v>
                </c:pt>
              </c:strCache>
            </c:strRef>
          </c:tx>
          <c:spPr>
            <a:solidFill>
              <a:schemeClr val="accent2"/>
            </a:solidFill>
            <a:ln>
              <a:noFill/>
            </a:ln>
            <a:effectLst/>
          </c:spPr>
          <c:invertIfNegative val="0"/>
          <c:cat>
            <c:strRef>
              <c:f>'Pivot Table'!$A$63:$A$64</c:f>
              <c:strCache>
                <c:ptCount val="1"/>
                <c:pt idx="0">
                  <c:v>Clerical</c:v>
                </c:pt>
              </c:strCache>
            </c:strRef>
          </c:cat>
          <c:val>
            <c:numRef>
              <c:f>'Pivot Table'!$C$63:$C$64</c:f>
              <c:numCache>
                <c:formatCode>General</c:formatCode>
                <c:ptCount val="1"/>
                <c:pt idx="0">
                  <c:v>88</c:v>
                </c:pt>
              </c:numCache>
            </c:numRef>
          </c:val>
          <c:extLst>
            <c:ext xmlns:c16="http://schemas.microsoft.com/office/drawing/2014/chart" uri="{C3380CC4-5D6E-409C-BE32-E72D297353CC}">
              <c16:uniqueId val="{00000001-312D-054B-8672-235BFC4E8D2F}"/>
            </c:ext>
          </c:extLst>
        </c:ser>
        <c:dLbls>
          <c:showLegendKey val="0"/>
          <c:showVal val="0"/>
          <c:showCatName val="0"/>
          <c:showSerName val="0"/>
          <c:showPercent val="0"/>
          <c:showBubbleSize val="0"/>
        </c:dLbls>
        <c:gapWidth val="219"/>
        <c:axId val="1958211392"/>
        <c:axId val="1953511424"/>
      </c:barChart>
      <c:catAx>
        <c:axId val="195821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1424"/>
        <c:crosses val="autoZero"/>
        <c:auto val="1"/>
        <c:lblAlgn val="ctr"/>
        <c:lblOffset val="100"/>
        <c:noMultiLvlLbl val="0"/>
      </c:catAx>
      <c:valAx>
        <c:axId val="195351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 Purchase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Table'!$A$4:$A$6</c:f>
              <c:strCache>
                <c:ptCount val="2"/>
                <c:pt idx="0">
                  <c:v>Female</c:v>
                </c:pt>
                <c:pt idx="1">
                  <c:v>Male</c:v>
                </c:pt>
              </c:strCache>
            </c:strRef>
          </c:cat>
          <c:val>
            <c:numRef>
              <c:f>'Pivot Table'!$B$4:$B$6</c:f>
              <c:numCache>
                <c:formatCode>_(* #,##0_);_(* \(#,##0\);_(* "-"??_);_(@_)</c:formatCode>
                <c:ptCount val="2"/>
                <c:pt idx="0">
                  <c:v>60273.972602739726</c:v>
                </c:pt>
                <c:pt idx="1">
                  <c:v>62307.692307692305</c:v>
                </c:pt>
              </c:numCache>
            </c:numRef>
          </c:val>
          <c:extLst>
            <c:ext xmlns:c16="http://schemas.microsoft.com/office/drawing/2014/chart" uri="{C3380CC4-5D6E-409C-BE32-E72D297353CC}">
              <c16:uniqueId val="{00000000-0FB3-2048-B464-2AC503FD48E0}"/>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Table'!$A$4:$A$6</c:f>
              <c:strCache>
                <c:ptCount val="2"/>
                <c:pt idx="0">
                  <c:v>Female</c:v>
                </c:pt>
                <c:pt idx="1">
                  <c:v>Male</c:v>
                </c:pt>
              </c:strCache>
            </c:strRef>
          </c:cat>
          <c:val>
            <c:numRef>
              <c:f>'Pivot Table'!$C$4:$C$6</c:f>
              <c:numCache>
                <c:formatCode>_(* #,##0_);_(* \(#,##0\);_(* "-"??_);_(@_)</c:formatCode>
                <c:ptCount val="2"/>
                <c:pt idx="0">
                  <c:v>65490.196078431371</c:v>
                </c:pt>
                <c:pt idx="1">
                  <c:v>62678.571428571428</c:v>
                </c:pt>
              </c:numCache>
            </c:numRef>
          </c:val>
          <c:extLst>
            <c:ext xmlns:c16="http://schemas.microsoft.com/office/drawing/2014/chart" uri="{C3380CC4-5D6E-409C-BE32-E72D297353CC}">
              <c16:uniqueId val="{00000001-0FB3-2048-B464-2AC503FD48E0}"/>
            </c:ext>
          </c:extLst>
        </c:ser>
        <c:dLbls>
          <c:dLblPos val="outEnd"/>
          <c:showLegendKey val="0"/>
          <c:showVal val="1"/>
          <c:showCatName val="0"/>
          <c:showSerName val="0"/>
          <c:showPercent val="0"/>
          <c:showBubbleSize val="0"/>
        </c:dLbls>
        <c:gapWidth val="100"/>
        <c:overlap val="-24"/>
        <c:axId val="1839438400"/>
        <c:axId val="1839436160"/>
      </c:barChart>
      <c:catAx>
        <c:axId val="1839438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9436160"/>
        <c:crosses val="autoZero"/>
        <c:auto val="1"/>
        <c:lblAlgn val="ctr"/>
        <c:lblOffset val="100"/>
        <c:noMultiLvlLbl val="0"/>
      </c:catAx>
      <c:valAx>
        <c:axId val="183943616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943840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B8E9-1147-91FA-4FF0F954B7D6}"/>
            </c:ext>
          </c:extLst>
        </c:ser>
        <c:ser>
          <c:idx val="1"/>
          <c:order val="1"/>
          <c:tx>
            <c:strRef>
              <c:f>'Pivot Table'!$C$21:$C$22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B8E9-1147-91FA-4FF0F954B7D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98335744"/>
        <c:axId val="1893919232"/>
      </c:lineChart>
      <c:catAx>
        <c:axId val="1898335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93919232"/>
        <c:crosses val="autoZero"/>
        <c:auto val="1"/>
        <c:lblAlgn val="ctr"/>
        <c:lblOffset val="100"/>
        <c:noMultiLvlLbl val="0"/>
      </c:catAx>
      <c:valAx>
        <c:axId val="189391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9833574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0-31</c:v>
                </c:pt>
                <c:pt idx="1">
                  <c:v>Middle Age 31-54</c:v>
                </c:pt>
                <c:pt idx="2">
                  <c:v>Old 55+</c:v>
                </c:pt>
              </c:strCache>
            </c:strRef>
          </c:cat>
          <c:val>
            <c:numRef>
              <c:f>'Pivot Table'!$B$43:$B$46</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9FA3-434B-96DC-702C95E2159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0-31</c:v>
                </c:pt>
                <c:pt idx="1">
                  <c:v>Middle Age 31-54</c:v>
                </c:pt>
                <c:pt idx="2">
                  <c:v>Old 55+</c:v>
                </c:pt>
              </c:strCache>
            </c:strRef>
          </c:cat>
          <c:val>
            <c:numRef>
              <c:f>'Pivot Table'!$C$43:$C$46</c:f>
              <c:numCache>
                <c:formatCode>General</c:formatCode>
                <c:ptCount val="3"/>
                <c:pt idx="0">
                  <c:v>5</c:v>
                </c:pt>
                <c:pt idx="1">
                  <c:v>89</c:v>
                </c:pt>
                <c:pt idx="2">
                  <c:v>13</c:v>
                </c:pt>
              </c:numCache>
            </c:numRef>
          </c:val>
          <c:smooth val="0"/>
          <c:extLst>
            <c:ext xmlns:c16="http://schemas.microsoft.com/office/drawing/2014/chart" uri="{C3380CC4-5D6E-409C-BE32-E72D297353CC}">
              <c16:uniqueId val="{00000001-9FA3-434B-96DC-702C95E2159D}"/>
            </c:ext>
          </c:extLst>
        </c:ser>
        <c:dLbls>
          <c:dLblPos val="ctr"/>
          <c:showLegendKey val="0"/>
          <c:showVal val="0"/>
          <c:showCatName val="0"/>
          <c:showSerName val="0"/>
          <c:showPercent val="0"/>
          <c:showBubbleSize val="0"/>
        </c:dLbls>
        <c:marker val="1"/>
        <c:smooth val="0"/>
        <c:axId val="1916443200"/>
        <c:axId val="1915968064"/>
      </c:lineChart>
      <c:catAx>
        <c:axId val="191644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968064"/>
        <c:crosses val="autoZero"/>
        <c:auto val="1"/>
        <c:lblAlgn val="ctr"/>
        <c:lblOffset val="100"/>
        <c:noMultiLvlLbl val="0"/>
      </c:catAx>
      <c:valAx>
        <c:axId val="191596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Purchase</a:t>
            </a:r>
            <a:r>
              <a:rPr lang="en-US" baseline="0"/>
              <a:t>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Table'!$B$61:$B$62</c:f>
              <c:strCache>
                <c:ptCount val="1"/>
                <c:pt idx="0">
                  <c:v>No</c:v>
                </c:pt>
              </c:strCache>
            </c:strRef>
          </c:tx>
          <c:spPr>
            <a:solidFill>
              <a:schemeClr val="accent1"/>
            </a:solidFill>
            <a:ln>
              <a:noFill/>
            </a:ln>
            <a:effectLst/>
          </c:spPr>
          <c:invertIfNegative val="0"/>
          <c:cat>
            <c:strRef>
              <c:f>'Pivot Table'!$A$63:$A$64</c:f>
              <c:strCache>
                <c:ptCount val="1"/>
                <c:pt idx="0">
                  <c:v>Clerical</c:v>
                </c:pt>
              </c:strCache>
            </c:strRef>
          </c:cat>
          <c:val>
            <c:numRef>
              <c:f>'Pivot Table'!$B$63:$B$64</c:f>
              <c:numCache>
                <c:formatCode>General</c:formatCode>
                <c:ptCount val="1"/>
                <c:pt idx="0">
                  <c:v>89</c:v>
                </c:pt>
              </c:numCache>
            </c:numRef>
          </c:val>
          <c:extLst>
            <c:ext xmlns:c16="http://schemas.microsoft.com/office/drawing/2014/chart" uri="{C3380CC4-5D6E-409C-BE32-E72D297353CC}">
              <c16:uniqueId val="{00000000-80D3-FE41-AE41-DBD4598A61B2}"/>
            </c:ext>
          </c:extLst>
        </c:ser>
        <c:ser>
          <c:idx val="1"/>
          <c:order val="1"/>
          <c:tx>
            <c:strRef>
              <c:f>'Pivot Table'!$C$61:$C$62</c:f>
              <c:strCache>
                <c:ptCount val="1"/>
                <c:pt idx="0">
                  <c:v>Yes</c:v>
                </c:pt>
              </c:strCache>
            </c:strRef>
          </c:tx>
          <c:spPr>
            <a:solidFill>
              <a:schemeClr val="accent2"/>
            </a:solidFill>
            <a:ln>
              <a:noFill/>
            </a:ln>
            <a:effectLst/>
          </c:spPr>
          <c:invertIfNegative val="0"/>
          <c:cat>
            <c:strRef>
              <c:f>'Pivot Table'!$A$63:$A$64</c:f>
              <c:strCache>
                <c:ptCount val="1"/>
                <c:pt idx="0">
                  <c:v>Clerical</c:v>
                </c:pt>
              </c:strCache>
            </c:strRef>
          </c:cat>
          <c:val>
            <c:numRef>
              <c:f>'Pivot Table'!$C$63:$C$64</c:f>
              <c:numCache>
                <c:formatCode>General</c:formatCode>
                <c:ptCount val="1"/>
                <c:pt idx="0">
                  <c:v>88</c:v>
                </c:pt>
              </c:numCache>
            </c:numRef>
          </c:val>
          <c:extLst>
            <c:ext xmlns:c16="http://schemas.microsoft.com/office/drawing/2014/chart" uri="{C3380CC4-5D6E-409C-BE32-E72D297353CC}">
              <c16:uniqueId val="{00000001-80D3-FE41-AE41-DBD4598A61B2}"/>
            </c:ext>
          </c:extLst>
        </c:ser>
        <c:dLbls>
          <c:showLegendKey val="0"/>
          <c:showVal val="0"/>
          <c:showCatName val="0"/>
          <c:showSerName val="0"/>
          <c:showPercent val="0"/>
          <c:showBubbleSize val="0"/>
        </c:dLbls>
        <c:gapWidth val="219"/>
        <c:axId val="1958211392"/>
        <c:axId val="1953511424"/>
      </c:barChart>
      <c:catAx>
        <c:axId val="195821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1424"/>
        <c:crosses val="autoZero"/>
        <c:auto val="1"/>
        <c:lblAlgn val="ctr"/>
        <c:lblOffset val="100"/>
        <c:noMultiLvlLbl val="0"/>
      </c:catAx>
      <c:valAx>
        <c:axId val="195351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185614</xdr:colOff>
      <xdr:row>1</xdr:row>
      <xdr:rowOff>19538</xdr:rowOff>
    </xdr:from>
    <xdr:to>
      <xdr:col>11</xdr:col>
      <xdr:colOff>68383</xdr:colOff>
      <xdr:row>17</xdr:row>
      <xdr:rowOff>47870</xdr:rowOff>
    </xdr:to>
    <xdr:graphicFrame macro="">
      <xdr:nvGraphicFramePr>
        <xdr:cNvPr id="3" name="Chart 2">
          <a:extLst>
            <a:ext uri="{FF2B5EF4-FFF2-40B4-BE49-F238E27FC236}">
              <a16:creationId xmlns:a16="http://schemas.microsoft.com/office/drawing/2014/main" id="{25979645-991F-9775-E2DA-A066C3D36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566615</xdr:colOff>
      <xdr:row>19</xdr:row>
      <xdr:rowOff>79131</xdr:rowOff>
    </xdr:from>
    <xdr:to>
      <xdr:col>10</xdr:col>
      <xdr:colOff>156307</xdr:colOff>
      <xdr:row>33</xdr:row>
      <xdr:rowOff>86947</xdr:rowOff>
    </xdr:to>
    <xdr:graphicFrame macro="">
      <xdr:nvGraphicFramePr>
        <xdr:cNvPr id="5" name="Chart 4">
          <a:extLst>
            <a:ext uri="{FF2B5EF4-FFF2-40B4-BE49-F238E27FC236}">
              <a16:creationId xmlns:a16="http://schemas.microsoft.com/office/drawing/2014/main" id="{8531B2BE-E83C-5D58-3F68-10F748308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586154</xdr:colOff>
      <xdr:row>38</xdr:row>
      <xdr:rowOff>98670</xdr:rowOff>
    </xdr:from>
    <xdr:to>
      <xdr:col>10</xdr:col>
      <xdr:colOff>175846</xdr:colOff>
      <xdr:row>52</xdr:row>
      <xdr:rowOff>106485</xdr:rowOff>
    </xdr:to>
    <xdr:graphicFrame macro="">
      <xdr:nvGraphicFramePr>
        <xdr:cNvPr id="6" name="Chart 5">
          <a:extLst>
            <a:ext uri="{FF2B5EF4-FFF2-40B4-BE49-F238E27FC236}">
              <a16:creationId xmlns:a16="http://schemas.microsoft.com/office/drawing/2014/main" id="{00294FC9-042E-C8AD-7DDF-EA9CF6032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527538</xdr:colOff>
      <xdr:row>60</xdr:row>
      <xdr:rowOff>49822</xdr:rowOff>
    </xdr:from>
    <xdr:to>
      <xdr:col>13</xdr:col>
      <xdr:colOff>78153</xdr:colOff>
      <xdr:row>74</xdr:row>
      <xdr:rowOff>57637</xdr:rowOff>
    </xdr:to>
    <xdr:graphicFrame macro="">
      <xdr:nvGraphicFramePr>
        <xdr:cNvPr id="7" name="Chart 6">
          <a:extLst>
            <a:ext uri="{FF2B5EF4-FFF2-40B4-BE49-F238E27FC236}">
              <a16:creationId xmlns:a16="http://schemas.microsoft.com/office/drawing/2014/main" id="{BDC787CD-D700-D5AB-63BB-AFEE172C0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317501</xdr:colOff>
      <xdr:row>6</xdr:row>
      <xdr:rowOff>76200</xdr:rowOff>
    </xdr:from>
    <xdr:to>
      <xdr:col>8</xdr:col>
      <xdr:colOff>787400</xdr:colOff>
      <xdr:row>23</xdr:row>
      <xdr:rowOff>0</xdr:rowOff>
    </xdr:to>
    <xdr:graphicFrame macro="">
      <xdr:nvGraphicFramePr>
        <xdr:cNvPr id="2" name="Chart 1">
          <a:extLst>
            <a:ext uri="{FF2B5EF4-FFF2-40B4-BE49-F238E27FC236}">
              <a16:creationId xmlns:a16="http://schemas.microsoft.com/office/drawing/2014/main" id="{65074275-01FE-374C-8346-5460FB4E0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317500</xdr:colOff>
      <xdr:row>23</xdr:row>
      <xdr:rowOff>86156</xdr:rowOff>
    </xdr:from>
    <xdr:to>
      <xdr:col>8</xdr:col>
      <xdr:colOff>791357</xdr:colOff>
      <xdr:row>41</xdr:row>
      <xdr:rowOff>114301</xdr:rowOff>
    </xdr:to>
    <xdr:graphicFrame macro="">
      <xdr:nvGraphicFramePr>
        <xdr:cNvPr id="3" name="Chart 2">
          <a:extLst>
            <a:ext uri="{FF2B5EF4-FFF2-40B4-BE49-F238E27FC236}">
              <a16:creationId xmlns:a16="http://schemas.microsoft.com/office/drawing/2014/main" id="{D1AE631C-C659-ED46-9717-17CB42DF2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117474</xdr:colOff>
      <xdr:row>6</xdr:row>
      <xdr:rowOff>88900</xdr:rowOff>
    </xdr:from>
    <xdr:to>
      <xdr:col>15</xdr:col>
      <xdr:colOff>12699</xdr:colOff>
      <xdr:row>22</xdr:row>
      <xdr:rowOff>187325</xdr:rowOff>
    </xdr:to>
    <xdr:graphicFrame macro="">
      <xdr:nvGraphicFramePr>
        <xdr:cNvPr id="4" name="Chart 3">
          <a:extLst>
            <a:ext uri="{FF2B5EF4-FFF2-40B4-BE49-F238E27FC236}">
              <a16:creationId xmlns:a16="http://schemas.microsoft.com/office/drawing/2014/main" id="{D862EB4C-4334-F348-BA94-615A69503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xdr:colOff>
      <xdr:row>6</xdr:row>
      <xdr:rowOff>76201</xdr:rowOff>
    </xdr:from>
    <xdr:to>
      <xdr:col>2</xdr:col>
      <xdr:colOff>241300</xdr:colOff>
      <xdr:row>10</xdr:row>
      <xdr:rowOff>177801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DFAA58F-9E88-4C7B-7B58-8587B6269F2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3500" y="1207884"/>
              <a:ext cx="1837602" cy="856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11</xdr:row>
      <xdr:rowOff>76201</xdr:rowOff>
    </xdr:from>
    <xdr:to>
      <xdr:col>2</xdr:col>
      <xdr:colOff>241300</xdr:colOff>
      <xdr:row>17</xdr:row>
      <xdr:rowOff>63501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0F03AD7-BF92-5C44-9341-87C4DB4D85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0" y="2150953"/>
              <a:ext cx="1837602" cy="1118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17</xdr:row>
      <xdr:rowOff>152401</xdr:rowOff>
    </xdr:from>
    <xdr:to>
      <xdr:col>2</xdr:col>
      <xdr:colOff>241300</xdr:colOff>
      <xdr:row>26</xdr:row>
      <xdr:rowOff>63501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50D2B04-73DD-1A5A-291E-C2FC1DD24D6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3500" y="3358837"/>
              <a:ext cx="1837602" cy="1608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108177</xdr:colOff>
      <xdr:row>23</xdr:row>
      <xdr:rowOff>101916</xdr:rowOff>
    </xdr:from>
    <xdr:to>
      <xdr:col>15</xdr:col>
      <xdr:colOff>23232</xdr:colOff>
      <xdr:row>41</xdr:row>
      <xdr:rowOff>108415</xdr:rowOff>
    </xdr:to>
    <xdr:graphicFrame macro="">
      <xdr:nvGraphicFramePr>
        <xdr:cNvPr id="8" name="Chart 7">
          <a:extLst>
            <a:ext uri="{FF2B5EF4-FFF2-40B4-BE49-F238E27FC236}">
              <a16:creationId xmlns:a16="http://schemas.microsoft.com/office/drawing/2014/main" id="{64649822-A1D7-0742-BFA0-40D2CC179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66344</xdr:colOff>
      <xdr:row>26</xdr:row>
      <xdr:rowOff>122071</xdr:rowOff>
    </xdr:from>
    <xdr:to>
      <xdr:col>2</xdr:col>
      <xdr:colOff>246040</xdr:colOff>
      <xdr:row>35</xdr:row>
      <xdr:rowOff>47388</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566898A1-5EDE-33B6-8CA9-AF9B746831A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6344" y="5026031"/>
              <a:ext cx="1839498" cy="1622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Dhayalan" refreshedDate="46024.54745208333" createdVersion="8" refreshedVersion="8" minRefreshableVersion="3" recordCount="1000" xr:uid="{B2986A72-2D8E-2543-8D38-0E2D319627AB}">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6">
        <s v="Middle Age 31-54"/>
        <s v="Old 55+"/>
        <s v="Adolescent 0-3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775308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2"/>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2"/>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2"/>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2"/>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2"/>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2"/>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2"/>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2"/>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2"/>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2"/>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2"/>
    <x v="0"/>
  </r>
  <r>
    <n v="16179"/>
    <x v="1"/>
    <x v="0"/>
    <n v="80000"/>
    <n v="5"/>
    <x v="0"/>
    <x v="2"/>
    <s v="Yes"/>
    <x v="3"/>
    <x v="3"/>
    <x v="1"/>
    <x v="13"/>
    <x v="0"/>
    <x v="0"/>
  </r>
  <r>
    <n v="15628"/>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2"/>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2"/>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2"/>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2"/>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2"/>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2"/>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2"/>
    <x v="0"/>
  </r>
  <r>
    <n v="11699"/>
    <x v="1"/>
    <x v="1"/>
    <n v="60000"/>
    <n v="0"/>
    <x v="0"/>
    <x v="0"/>
    <s v="No"/>
    <x v="2"/>
    <x v="0"/>
    <x v="2"/>
    <x v="25"/>
    <x v="2"/>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2"/>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2"/>
    <x v="0"/>
  </r>
  <r>
    <n v="14913"/>
    <x v="0"/>
    <x v="0"/>
    <n v="40000"/>
    <n v="1"/>
    <x v="1"/>
    <x v="1"/>
    <s v="Yes"/>
    <x v="1"/>
    <x v="3"/>
    <x v="2"/>
    <x v="28"/>
    <x v="0"/>
    <x v="1"/>
  </r>
  <r>
    <n v="14077"/>
    <x v="1"/>
    <x v="1"/>
    <n v="30000"/>
    <n v="0"/>
    <x v="2"/>
    <x v="0"/>
    <s v="Yes"/>
    <x v="2"/>
    <x v="2"/>
    <x v="2"/>
    <x v="25"/>
    <x v="2"/>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2"/>
    <x v="0"/>
  </r>
  <r>
    <n v="21660"/>
    <x v="0"/>
    <x v="0"/>
    <n v="60000"/>
    <n v="3"/>
    <x v="4"/>
    <x v="2"/>
    <s v="Yes"/>
    <x v="0"/>
    <x v="1"/>
    <x v="2"/>
    <x v="1"/>
    <x v="0"/>
    <x v="1"/>
  </r>
  <r>
    <n v="17012"/>
    <x v="0"/>
    <x v="0"/>
    <n v="60000"/>
    <n v="3"/>
    <x v="4"/>
    <x v="2"/>
    <s v="Yes"/>
    <x v="0"/>
    <x v="1"/>
    <x v="2"/>
    <x v="0"/>
    <x v="0"/>
    <x v="1"/>
  </r>
  <r>
    <n v="24514"/>
    <x v="0"/>
    <x v="1"/>
    <n v="40000"/>
    <n v="0"/>
    <x v="1"/>
    <x v="0"/>
    <s v="Yes"/>
    <x v="1"/>
    <x v="2"/>
    <x v="2"/>
    <x v="25"/>
    <x v="2"/>
    <x v="0"/>
  </r>
  <r>
    <n v="27505"/>
    <x v="1"/>
    <x v="0"/>
    <n v="40000"/>
    <n v="0"/>
    <x v="2"/>
    <x v="0"/>
    <s v="Yes"/>
    <x v="2"/>
    <x v="2"/>
    <x v="2"/>
    <x v="25"/>
    <x v="2"/>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2"/>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2"/>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A6012-C7DF-464D-897D-4BF47B808A1B}"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1:D64" firstHeaderRow="1" firstDataRow="2" firstDataCol="1"/>
  <pivotFields count="14">
    <pivotField showAll="0"/>
    <pivotField showAll="0"/>
    <pivotField showAll="0"/>
    <pivotField numFmtId="166" showAll="0"/>
    <pivotField showAll="0"/>
    <pivotField showAll="0"/>
    <pivotField axis="axisRow" showAll="0">
      <items count="6">
        <item x="1"/>
        <item h="1" x="4"/>
        <item h="1" x="3"/>
        <item h="1" x="2"/>
        <item h="1" x="0"/>
        <item t="default"/>
      </items>
    </pivotField>
    <pivotField showAll="0"/>
    <pivotField showAll="0">
      <items count="6">
        <item x="0"/>
        <item x="1"/>
        <item x="2"/>
        <item x="4"/>
        <item x="3"/>
        <item t="default"/>
      </items>
    </pivotField>
    <pivotField showAll="0"/>
    <pivotField showAll="0"/>
    <pivotField showAll="0"/>
    <pivotField showAll="0">
      <items count="7">
        <item m="1" x="5"/>
        <item x="2"/>
        <item m="1" x="3"/>
        <item x="0"/>
        <item m="1" x="4"/>
        <item x="1"/>
        <item t="default"/>
      </items>
    </pivotField>
    <pivotField axis="axisCol" dataField="1" showAll="0">
      <items count="3">
        <item x="0"/>
        <item x="1"/>
        <item t="default"/>
      </items>
    </pivotField>
  </pivotFields>
  <rowFields count="1">
    <field x="6"/>
  </rowFields>
  <rowItems count="2">
    <i>
      <x/>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0"/>
          </reference>
        </references>
      </pivotArea>
    </chartFormat>
    <chartFormat chart="0" format="6" series="1">
      <pivotArea type="data" outline="0" fieldPosition="0">
        <references count="2">
          <reference field="4294967294" count="1" selected="0">
            <x v="0"/>
          </reference>
          <reference field="6" count="1" selected="0">
            <x v="1"/>
          </reference>
        </references>
      </pivotArea>
    </chartFormat>
    <chartFormat chart="12" format="9" series="1">
      <pivotArea type="data" outline="0" fieldPosition="0">
        <references count="2">
          <reference field="4294967294" count="1" selected="0">
            <x v="0"/>
          </reference>
          <reference field="13" count="1" selected="0">
            <x v="0"/>
          </reference>
        </references>
      </pivotArea>
    </chartFormat>
    <chartFormat chart="12"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2B735-F91B-394C-866F-2E2D0B114FD4}"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D65D3-0392-AE48-B6C1-1844C0B43836}"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x="3"/>
        <item m="1" x="5"/>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1C586-81E1-1C41-8D3A-7DC0FC65A3BB}"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formats count="1">
    <format dxfId="11">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F4CFB6F-D537-4F46-95D9-CB2790B1F5E5}" sourceName="Marital Status">
  <pivotTables>
    <pivotTable tabId="3" name="PivotTable1"/>
    <pivotTable tabId="3" name="PivotTable2"/>
    <pivotTable tabId="3" name="PivotTable3"/>
  </pivotTables>
  <data>
    <tabular pivotCacheId="177530899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3DFE45-44C7-0C45-88B3-76E164DE4219}" sourceName="Region">
  <pivotTables>
    <pivotTable tabId="3" name="PivotTable1"/>
    <pivotTable tabId="3" name="PivotTable2"/>
    <pivotTable tabId="3" name="PivotTable3"/>
  </pivotTables>
  <data>
    <tabular pivotCacheId="177530899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1FB48E-5125-D74E-8FD7-DDB664277DDF}" sourceName="Education">
  <pivotTables>
    <pivotTable tabId="3" name="PivotTable1"/>
    <pivotTable tabId="3" name="PivotTable2"/>
    <pivotTable tabId="3" name="PivotTable3"/>
  </pivotTables>
  <data>
    <tabular pivotCacheId="177530899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714C382-EBAC-8F41-B380-352C010C0907}" sourceName="Occupation">
  <pivotTables>
    <pivotTable tabId="3" name="PivotTable5"/>
  </pivotTables>
  <data>
    <tabular pivotCacheId="1775308991">
      <items count="5">
        <i x="1" s="1"/>
        <i x="4"/>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7F748FA-4C30-B147-9724-CAADCF805259}" cache="Slicer_Marital_Status" caption="Marital Status" rowHeight="230716"/>
  <slicer name="Region" xr10:uid="{38DD6922-9CF4-084B-A075-AB51CFC78CEB}" cache="Slicer_Region" caption="Region" rowHeight="230716"/>
  <slicer name="Education" xr10:uid="{A87C84D6-4252-2549-BF7C-E6BFD312A4AC}" cache="Slicer_Education" caption="Education" rowHeight="230716"/>
  <slicer name="Occupation" xr10:uid="{B48BC500-3B3E-DA43-A465-D10521DAF9CE}" cache="Slicer_Occupation" caption="Occupat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96443-A7C8-BB42-94E8-D5C83CD45953}">
  <dimension ref="A1:N1001"/>
  <sheetViews>
    <sheetView zoomScale="120" zoomScaleNormal="120" workbookViewId="0">
      <selection activeCell="M18" sqref="M18"/>
    </sheetView>
  </sheetViews>
  <sheetFormatPr baseColWidth="10" defaultColWidth="11.83203125" defaultRowHeight="15" x14ac:dyDescent="0.2"/>
  <cols>
    <col min="4" max="4" width="11.83203125" style="3"/>
    <col min="10" max="10" width="18" bestFit="1" customWidth="1"/>
    <col min="13" max="13" width="14.33203125" bestFit="1"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 55+",IF(L2&gt;=31,"Middle Age 31-54",IF(L2&lt;31,"Adolescent 0-31","Invalid")))</f>
        <v>Middle Age 31-54</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 55+",IF(L3&gt;=31,"Middle Age 31-54",IF(L3&lt;31,"Adolescent 0-31","Invalid")))</f>
        <v>Middle Age 31-54</v>
      </c>
      <c r="N3" t="s">
        <v>18</v>
      </c>
    </row>
    <row r="4" spans="1:14" x14ac:dyDescent="0.2">
      <c r="A4">
        <v>14177</v>
      </c>
      <c r="B4" t="s">
        <v>36</v>
      </c>
      <c r="C4" t="s">
        <v>39</v>
      </c>
      <c r="D4" s="3">
        <v>80000</v>
      </c>
      <c r="E4">
        <v>5</v>
      </c>
      <c r="F4" t="s">
        <v>19</v>
      </c>
      <c r="G4" t="s">
        <v>21</v>
      </c>
      <c r="H4" t="s">
        <v>18</v>
      </c>
      <c r="I4">
        <v>2</v>
      </c>
      <c r="J4" t="s">
        <v>22</v>
      </c>
      <c r="K4" t="s">
        <v>17</v>
      </c>
      <c r="L4">
        <v>60</v>
      </c>
      <c r="M4" t="str">
        <f t="shared" si="0"/>
        <v>Old 55+</v>
      </c>
      <c r="N4" t="s">
        <v>18</v>
      </c>
    </row>
    <row r="5" spans="1:14" x14ac:dyDescent="0.2">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2">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2">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2">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2">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 31-54</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 31-54</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 0-31</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 0-31</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 0-31</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 0-31</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 0-31</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 31-54</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 31-54</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 31-54</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 55+",IF(L67&gt;=31,"Middle Age 31-54",IF(L67&lt;31,"Adolescent 0-31","Invalid")))</f>
        <v>Old 55+</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 0-31</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 31-54</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 0-31</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 0-31</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 0-31</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 0-31</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 0-31</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 0-31</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 0-31</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 55+</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 0-31</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 0-31</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 0-31</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 0-31</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 0-31</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 31-54</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 55+",IF(L131&gt;=31,"Middle Age 31-54",IF(L131&lt;31,"Adolescent 0-31","Invalid")))</f>
        <v>Middle Age 31-54</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 0-31</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 31-54</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 0-31</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 0-31</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 0-31</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 31-54</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 0-31</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 0-31</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 55+</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 55+</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 55+</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 31-54</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 55+</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 55+",IF(L195&gt;=31,"Middle Age 31-54",IF(L195&lt;31,"Adolescent 0-31","Invalid")))</f>
        <v>Middle Age 31-54</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 0-31</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 31-54</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 0-31</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 55+</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 0-31</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 0-31</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 31-54</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 0-31</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 0-31</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 31-54</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 55+</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 55+</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 0-31</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 31-54</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 0-31</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 0-31</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 0-31</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 31-54</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 31-54</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 55+</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 55+",IF(L259&gt;=31,"Middle Age 31-54",IF(L259&lt;31,"Adolescent 0-31","Invalid")))</f>
        <v>Middle Age 31-54</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 55+</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 31-54</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 0-31</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 0-31</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 0-31</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 31-54</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 31-54</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 0-31</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 31-54</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 55+",IF(L323&gt;=31,"Middle Age 31-54",IF(L323&lt;31,"Adolescent 0-31","Invalid")))</f>
        <v>Middle Age 31-54</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 0-31</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 55+</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 31-54</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 0-31</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 0-31</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 0-31</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 0-31</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 31-54</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 0-31</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 0-31</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 31-54</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 0-31</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 0-31</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 31-54</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 0-31</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 55+",IF(L387&gt;=31,"Middle Age 31-54",IF(L387&lt;31,"Adolescent 0-31","Invalid")))</f>
        <v>Middle Age 31-54</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 31-54</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 31-54</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 55+</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 31-54</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 0-31</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 0-31</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 31-54</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 0-31</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 0-31</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 31-54</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 31-54</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 31-54",IF(L451&lt;31,"Adolescent 0-31","Invalid")))</f>
        <v>Middle Age 31-54</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 31-54</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 31-54</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 0-31</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 55+</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 55+</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 55+</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 0-31</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 0-31</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 55+",IF(L515&gt;=31,"Middle Age 31-54",IF(L515&lt;31,"Adolescent 0-31","Invalid")))</f>
        <v>Old 55+</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 55+</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 55+</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 0-31</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 55+</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 0-31</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 0-31</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 55+</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 55+</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 31-54</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 0-31</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 0-31</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 55+</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 31-54</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 55+</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 0-31</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 0-31</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 55+</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 0-31</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 55+</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 55+",IF(L579&gt;=31,"Middle Age 31-54",IF(L579&lt;31,"Adolescent 0-31","Invalid")))</f>
        <v>Middle Age 31-54</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 55+</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 0-31</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 55+</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 31-54</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 55+</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 55+</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 0-31</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 31-54</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 0-31</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 0-31</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 0-31</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 0-31</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 0-31</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 0-31</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 55+",IF(L643&gt;=31,"Middle Age 31-54",IF(L643&lt;31,"Adolescent 0-31","Invalid")))</f>
        <v>Old 55+</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 31-54</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 55+</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 55+</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 0-31</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 55+</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 55+</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 0-31</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 55+</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 0-31</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 0-31</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 0-31</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 0-31</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 0-31</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 0-31</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 55+",IF(L707&gt;=31,"Middle Age 31-54",IF(L707&lt;31,"Adolescent 0-31","Invalid")))</f>
        <v>Old 55+</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 55+</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 55+</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 55+</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 0-31</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 0-31</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 0-31</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 55+</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 0-31</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 0-31</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 55+</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 55+</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 0-31</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 55+</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 0-31</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 31-54</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0-31","Invalid")))</f>
        <v>Middle Age 31-54</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 31-54</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 0-31</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 55+</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 0-31</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 0-31</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 0-31</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 0-31</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 0-31</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 0-31</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 0-31</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 55+</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 31-54</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 0-31</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 0-31</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 0-31</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 0-31</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 55+",IF(L835&gt;=31,"Middle Age 31-54",IF(L835&lt;31,"Adolescent 0-31","Invalid")))</f>
        <v>Middle Age 31-54</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 0-31</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 31-54</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 55+</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 0-31</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 0-31</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 55+</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 55+</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 55+</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 0-31</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 55+",IF(L899&gt;=31,"Middle Age 31-54",IF(L899&lt;31,"Adolescent 0-31","Invalid")))</f>
        <v>Adolescent 0-31</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 55+</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 31-54</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 55+</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 55+</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 55+</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 55+</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 31-54</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 0-31</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 0-31</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 0-31</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 31-54</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 0-31</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 0-31</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 31-54",IF(L963&lt;31,"Adolescent 0-31","Invalid")))</f>
        <v>Old 55+</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 55+</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 55+</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 0-31</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 55+</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 31-54</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 55+</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 55+</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 55+</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 31-54</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 0-31</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 31-54</v>
      </c>
      <c r="N1001" t="s">
        <v>15</v>
      </c>
    </row>
  </sheetData>
  <autoFilter ref="A1:N1001" xr:uid="{0F396443-A7C8-BB42-94E8-D5C83CD459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8053-A660-734A-8991-7024B4651726}">
  <dimension ref="A2:D64"/>
  <sheetViews>
    <sheetView topLeftCell="A51" zoomScale="130" zoomScaleNormal="130" workbookViewId="0">
      <selection activeCell="L77" sqref="L77"/>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10.5" bestFit="1" customWidth="1"/>
    <col min="6" max="6" width="12.5" bestFit="1" customWidth="1"/>
    <col min="7" max="7" width="10" bestFit="1" customWidth="1"/>
    <col min="8" max="9" width="4.1640625" bestFit="1" customWidth="1"/>
    <col min="10" max="11" width="3.1640625" bestFit="1" customWidth="1"/>
    <col min="12" max="12" width="19.33203125" bestFit="1" customWidth="1"/>
    <col min="13" max="13" width="8.6640625" bestFit="1" customWidth="1"/>
    <col min="14" max="14" width="3.1640625" bestFit="1" customWidth="1"/>
    <col min="15" max="15" width="4.1640625" bestFit="1" customWidth="1"/>
    <col min="16" max="17" width="3.1640625" bestFit="1" customWidth="1"/>
    <col min="18" max="18" width="11.1640625" bestFit="1" customWidth="1"/>
    <col min="19" max="19" width="10" bestFit="1" customWidth="1"/>
  </cols>
  <sheetData>
    <row r="2" spans="1:4" x14ac:dyDescent="0.2">
      <c r="A2" s="5" t="s">
        <v>44</v>
      </c>
      <c r="B2" s="5" t="s">
        <v>43</v>
      </c>
    </row>
    <row r="3" spans="1:4" x14ac:dyDescent="0.2">
      <c r="A3" s="5" t="s">
        <v>41</v>
      </c>
      <c r="B3" t="s">
        <v>18</v>
      </c>
      <c r="C3" t="s">
        <v>15</v>
      </c>
      <c r="D3" t="s">
        <v>42</v>
      </c>
    </row>
    <row r="4" spans="1:4" x14ac:dyDescent="0.2">
      <c r="A4" s="6" t="s">
        <v>38</v>
      </c>
      <c r="B4" s="7">
        <v>60273.972602739726</v>
      </c>
      <c r="C4" s="7">
        <v>65490.196078431371</v>
      </c>
      <c r="D4" s="7">
        <v>62419.354838709674</v>
      </c>
    </row>
    <row r="5" spans="1:4" x14ac:dyDescent="0.2">
      <c r="A5" s="6" t="s">
        <v>39</v>
      </c>
      <c r="B5" s="7">
        <v>62307.692307692305</v>
      </c>
      <c r="C5" s="7">
        <v>62678.571428571428</v>
      </c>
      <c r="D5" s="7">
        <v>62427.745664739887</v>
      </c>
    </row>
    <row r="6" spans="1:4" x14ac:dyDescent="0.2">
      <c r="A6" s="6" t="s">
        <v>42</v>
      </c>
      <c r="B6" s="7">
        <v>61526.315789473687</v>
      </c>
      <c r="C6" s="7">
        <v>64018.691588785048</v>
      </c>
      <c r="D6" s="7">
        <v>62424.242424242424</v>
      </c>
    </row>
    <row r="21" spans="1:4" x14ac:dyDescent="0.2">
      <c r="A21" s="5" t="s">
        <v>45</v>
      </c>
      <c r="B21" s="5" t="s">
        <v>43</v>
      </c>
    </row>
    <row r="22" spans="1:4" x14ac:dyDescent="0.2">
      <c r="A22" s="5" t="s">
        <v>41</v>
      </c>
      <c r="B22" t="s">
        <v>18</v>
      </c>
      <c r="C22" t="s">
        <v>15</v>
      </c>
      <c r="D22" t="s">
        <v>42</v>
      </c>
    </row>
    <row r="23" spans="1:4" x14ac:dyDescent="0.2">
      <c r="A23" s="6" t="s">
        <v>16</v>
      </c>
      <c r="B23" s="4">
        <v>47</v>
      </c>
      <c r="C23" s="4">
        <v>30</v>
      </c>
      <c r="D23" s="4">
        <v>77</v>
      </c>
    </row>
    <row r="24" spans="1:4" x14ac:dyDescent="0.2">
      <c r="A24" s="6" t="s">
        <v>26</v>
      </c>
      <c r="B24" s="4">
        <v>38</v>
      </c>
      <c r="C24" s="4">
        <v>23</v>
      </c>
      <c r="D24" s="4">
        <v>61</v>
      </c>
    </row>
    <row r="25" spans="1:4" x14ac:dyDescent="0.2">
      <c r="A25" s="6" t="s">
        <v>22</v>
      </c>
      <c r="B25" s="4">
        <v>25</v>
      </c>
      <c r="C25" s="4">
        <v>34</v>
      </c>
      <c r="D25" s="4">
        <v>59</v>
      </c>
    </row>
    <row r="26" spans="1:4" x14ac:dyDescent="0.2">
      <c r="A26" s="6" t="s">
        <v>23</v>
      </c>
      <c r="B26" s="4">
        <v>43</v>
      </c>
      <c r="C26" s="4">
        <v>17</v>
      </c>
      <c r="D26" s="4">
        <v>60</v>
      </c>
    </row>
    <row r="27" spans="1:4" x14ac:dyDescent="0.2">
      <c r="A27" s="6" t="s">
        <v>46</v>
      </c>
      <c r="B27" s="4">
        <v>37</v>
      </c>
      <c r="C27" s="4">
        <v>3</v>
      </c>
      <c r="D27" s="4">
        <v>40</v>
      </c>
    </row>
    <row r="28" spans="1:4" x14ac:dyDescent="0.2">
      <c r="A28" s="6" t="s">
        <v>42</v>
      </c>
      <c r="B28" s="4">
        <v>190</v>
      </c>
      <c r="C28" s="4">
        <v>107</v>
      </c>
      <c r="D28" s="4">
        <v>297</v>
      </c>
    </row>
    <row r="41" spans="1:4" x14ac:dyDescent="0.2">
      <c r="A41" s="5" t="s">
        <v>45</v>
      </c>
      <c r="B41" s="5" t="s">
        <v>43</v>
      </c>
    </row>
    <row r="42" spans="1:4" x14ac:dyDescent="0.2">
      <c r="A42" s="5" t="s">
        <v>41</v>
      </c>
      <c r="B42" t="s">
        <v>18</v>
      </c>
      <c r="C42" t="s">
        <v>15</v>
      </c>
      <c r="D42" t="s">
        <v>42</v>
      </c>
    </row>
    <row r="43" spans="1:4" x14ac:dyDescent="0.2">
      <c r="A43" s="6" t="s">
        <v>49</v>
      </c>
      <c r="B43" s="4">
        <v>19</v>
      </c>
      <c r="C43" s="4">
        <v>5</v>
      </c>
      <c r="D43" s="4">
        <v>24</v>
      </c>
    </row>
    <row r="44" spans="1:4" x14ac:dyDescent="0.2">
      <c r="A44" s="6" t="s">
        <v>47</v>
      </c>
      <c r="B44" s="4">
        <v>112</v>
      </c>
      <c r="C44" s="4">
        <v>89</v>
      </c>
      <c r="D44" s="4">
        <v>201</v>
      </c>
    </row>
    <row r="45" spans="1:4" x14ac:dyDescent="0.2">
      <c r="A45" s="6" t="s">
        <v>48</v>
      </c>
      <c r="B45" s="4">
        <v>59</v>
      </c>
      <c r="C45" s="4">
        <v>13</v>
      </c>
      <c r="D45" s="4">
        <v>72</v>
      </c>
    </row>
    <row r="46" spans="1:4" x14ac:dyDescent="0.2">
      <c r="A46" s="6" t="s">
        <v>42</v>
      </c>
      <c r="B46" s="4">
        <v>190</v>
      </c>
      <c r="C46" s="4">
        <v>107</v>
      </c>
      <c r="D46" s="4">
        <v>297</v>
      </c>
    </row>
    <row r="61" spans="1:4" x14ac:dyDescent="0.2">
      <c r="A61" s="5" t="s">
        <v>45</v>
      </c>
      <c r="B61" s="5" t="s">
        <v>43</v>
      </c>
    </row>
    <row r="62" spans="1:4" x14ac:dyDescent="0.2">
      <c r="A62" s="5" t="s">
        <v>41</v>
      </c>
      <c r="B62" t="s">
        <v>18</v>
      </c>
      <c r="C62" t="s">
        <v>15</v>
      </c>
      <c r="D62" t="s">
        <v>42</v>
      </c>
    </row>
    <row r="63" spans="1:4" x14ac:dyDescent="0.2">
      <c r="A63" s="6" t="s">
        <v>20</v>
      </c>
      <c r="B63" s="4">
        <v>89</v>
      </c>
      <c r="C63" s="4">
        <v>88</v>
      </c>
      <c r="D63" s="4">
        <v>177</v>
      </c>
    </row>
    <row r="64" spans="1:4" x14ac:dyDescent="0.2">
      <c r="A64" s="6" t="s">
        <v>42</v>
      </c>
      <c r="B64" s="4">
        <v>89</v>
      </c>
      <c r="C64" s="4">
        <v>88</v>
      </c>
      <c r="D64" s="4">
        <v>177</v>
      </c>
    </row>
  </sheetData>
  <sortState xmlns:xlrd2="http://schemas.microsoft.com/office/spreadsheetml/2017/richdata2" ref="A41:D46">
    <sortCondition ref="A43"/>
  </sortState>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F612-6DC1-B348-BAF1-4FB46DFBA5A6}">
  <dimension ref="A1:O6"/>
  <sheetViews>
    <sheetView showGridLines="0" tabSelected="1" zoomScale="101" workbookViewId="0">
      <selection activeCell="Q36" sqref="Q36"/>
    </sheetView>
  </sheetViews>
  <sheetFormatPr baseColWidth="10" defaultRowHeight="15" x14ac:dyDescent="0.2"/>
  <sheetData>
    <row r="1" spans="1:15" ht="15" customHeight="1" x14ac:dyDescent="0.2">
      <c r="A1" s="8" t="s">
        <v>50</v>
      </c>
      <c r="B1" s="8"/>
      <c r="C1" s="8"/>
      <c r="D1" s="8"/>
      <c r="E1" s="8"/>
      <c r="F1" s="8"/>
      <c r="G1" s="8"/>
      <c r="H1" s="8"/>
      <c r="I1" s="8"/>
      <c r="J1" s="8"/>
      <c r="K1" s="8"/>
      <c r="L1" s="8"/>
      <c r="M1" s="8"/>
      <c r="N1" s="8"/>
      <c r="O1" s="8"/>
    </row>
    <row r="2" spans="1:15" ht="15" customHeight="1" x14ac:dyDescent="0.2">
      <c r="A2" s="8"/>
      <c r="B2" s="8"/>
      <c r="C2" s="8"/>
      <c r="D2" s="8"/>
      <c r="E2" s="8"/>
      <c r="F2" s="8"/>
      <c r="G2" s="8"/>
      <c r="H2" s="8"/>
      <c r="I2" s="8"/>
      <c r="J2" s="8"/>
      <c r="K2" s="8"/>
      <c r="L2" s="8"/>
      <c r="M2" s="8"/>
      <c r="N2" s="8"/>
      <c r="O2" s="8"/>
    </row>
    <row r="3" spans="1:15" ht="15" customHeight="1" x14ac:dyDescent="0.2">
      <c r="A3" s="8"/>
      <c r="B3" s="8"/>
      <c r="C3" s="8"/>
      <c r="D3" s="8"/>
      <c r="E3" s="8"/>
      <c r="F3" s="8"/>
      <c r="G3" s="8"/>
      <c r="H3" s="8"/>
      <c r="I3" s="8"/>
      <c r="J3" s="8"/>
      <c r="K3" s="8"/>
      <c r="L3" s="8"/>
      <c r="M3" s="8"/>
      <c r="N3" s="8"/>
      <c r="O3" s="8"/>
    </row>
    <row r="4" spans="1:15" ht="15" customHeight="1" x14ac:dyDescent="0.2">
      <c r="A4" s="8"/>
      <c r="B4" s="8"/>
      <c r="C4" s="8"/>
      <c r="D4" s="8"/>
      <c r="E4" s="8"/>
      <c r="F4" s="8"/>
      <c r="G4" s="8"/>
      <c r="H4" s="8"/>
      <c r="I4" s="8"/>
      <c r="J4" s="8"/>
      <c r="K4" s="8"/>
      <c r="L4" s="8"/>
      <c r="M4" s="8"/>
      <c r="N4" s="8"/>
      <c r="O4" s="8"/>
    </row>
    <row r="5" spans="1:15" ht="15" customHeight="1" x14ac:dyDescent="0.2">
      <c r="A5" s="8"/>
      <c r="B5" s="8"/>
      <c r="C5" s="8"/>
      <c r="D5" s="8"/>
      <c r="E5" s="8"/>
      <c r="F5" s="8"/>
      <c r="G5" s="8"/>
      <c r="H5" s="8"/>
      <c r="I5" s="8"/>
      <c r="J5" s="8"/>
      <c r="K5" s="8"/>
      <c r="L5" s="8"/>
      <c r="M5" s="8"/>
      <c r="N5" s="8"/>
      <c r="O5" s="8"/>
    </row>
    <row r="6" spans="1:15" ht="15" customHeight="1" x14ac:dyDescent="0.2">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Mukee D</cp:lastModifiedBy>
  <dcterms:created xsi:type="dcterms:W3CDTF">2022-03-18T02:50:57Z</dcterms:created>
  <dcterms:modified xsi:type="dcterms:W3CDTF">2026-01-02T08:11:51Z</dcterms:modified>
</cp:coreProperties>
</file>